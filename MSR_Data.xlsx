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sco-my.sharepoint.com/personal/prroycho_cisco_com/Documents/Documents/"/>
    </mc:Choice>
  </mc:AlternateContent>
  <xr:revisionPtr revIDLastSave="111" documentId="13_ncr:1_{EE403CF7-1194-460A-B9F2-7C74FF165A99}" xr6:coauthVersionLast="47" xr6:coauthVersionMax="47" xr10:uidLastSave="{1EA46BA6-DC46-4931-81C1-64D26ADADF1B}"/>
  <bookViews>
    <workbookView xWindow="-110" yWindow="-110" windowWidth="19420" windowHeight="10300" firstSheet="3" activeTab="6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D17" i="1"/>
  <c r="D16" i="2"/>
  <c r="D16" i="1"/>
  <c r="D15" i="2"/>
  <c r="D15" i="1"/>
  <c r="D13" i="2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<sst xmlns="http://schemas.openxmlformats.org/spreadsheetml/2006/main" count="181" uniqueCount="39">
  <si>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</si>
  <si>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</si>
  <si>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</si>
  <si>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</si>
  <si>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</si>
  <si>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</si>
  <si>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</si>
  <si>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</si>
  <si>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</si>
  <si>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</si>
  <si>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</si>
  <si>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</si>
  <si>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</si>
  <si>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</si>
  <si>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</si>
  <si>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</si>
  <si>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</si>
  <si>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</si>
  <si>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</si>
  <si>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</si>
  <si>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</si>
  <si>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</si>
  <si>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</si>
  <si>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</si>
  <si>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</si>
  <si>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</si>
  <si>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</si>
  <si>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</si>
  <si>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</si>
  <si>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</si>
  <si>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</si>
  <si>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</si>
  <si>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</si>
  <si>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</si>
  <si>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</si>
  <si>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</si>
  <si>
    <t>Nov'25</t>
  </si>
  <si>
    <t>Dec'25</t>
  </si>
  <si>
    <t>Jan'26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</si>
</sst>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39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9" fontId="0" fillId="0" borderId="1" xfId="0" applyNumberFormat="1" applyBorder="1" applyAlignment="1">
      <alignment horizontal="center"/>
    </xf>
    <xf numFmtId="0" fontId="2" fillId="0" borderId="19" xfId="1" applyFill="1" applyBorder="1" applyAlignment="1">
      <alignment horizontal="center" vertic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7" totalsRowShown="0" headerRowDxfId="32" headerRowBorderDxfId="31" tableBorderDxfId="30">
  <autoFilter ref="A1:G17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7" totalsRowShown="0" dataDxfId="24" tableBorderDxfId="23">
  <autoFilter ref="A1:G17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19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8"/>
    <tableColumn id="5" xr3:uid="{BD94AFC1-C71C-47DC-ACA0-8FE6CBE003FF}" name="EMEA" dataDxfId="17"/>
    <tableColumn id="6" xr3:uid="{98EE06DB-9676-4A9A-998C-A4D874DFD294}" name="AMRS" dataDxfId="16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7" totalsRowShown="0" headerRowDxfId="15" headerRowBorderDxfId="14" tableBorderDxfId="13" totalsRowBorderDxfId="12">
  <autoFilter ref="A1:B17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1"/>
    <tableColumn id="2" xr3:uid="{5614EC75-037C-4259-8DDB-ACDF6C7401D4}" name="CEWA" dataDxfId="10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7" totalsRowShown="0" headerRowDxfId="9" dataDxfId="7" headerRowBorderDxfId="8" tableBorderDxfId="6" totalsRowBorderDxfId="5">
  <autoFilter ref="A1:E17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4"/>
    <tableColumn id="2" xr3:uid="{D4327601-DD07-4153-BA9E-11187C24B73E}" name="Changes" dataDxfId="3"/>
    <tableColumn id="3" xr3:uid="{9C313649-6848-4BDE-B13B-D169C2708F72}" name="APAC" dataDxfId="2"/>
    <tableColumn id="4" xr3:uid="{0DFC0271-5535-4BD8-925B-6B815194BFF4}" name="EMEA" dataDxfId="1"/>
    <tableColumn id="5" xr3:uid="{5AAA2A83-AE9D-4416-88DF-6A52833C8222}" name="AMRS" dataDxfId="0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7"/>
  <sheetViews>
    <sheetView workbookViewId="0">
      <selection activeCell="H8" sqref="H8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19">
        <v>144</v>
      </c>
      <c r="G14" s="19">
        <v>872</v>
      </c>
    </row>
    <row r="15" spans="1:7" x14ac:dyDescent="0.35">
      <c r="A15" s="36" t="s">
        <v>36</v>
      </c>
      <c r="B15" s="18">
        <v>1247</v>
      </c>
      <c r="C15" s="18">
        <v>1221</v>
      </c>
      <c r="D15" s="18">
        <f>ROUND((Table4[[#This Row],[Resolved Overall]]/Table4[[#This Row],[Submitted Overall]]*100),0)</f>
        <v>98</v>
      </c>
      <c r="E15" s="35">
        <v>139</v>
      </c>
      <c r="F15" s="18">
        <v>115</v>
      </c>
      <c r="G15" s="18">
        <v>993</v>
      </c>
    </row>
    <row r="16" spans="1:7" x14ac:dyDescent="0.35">
      <c r="A16" s="18" t="s">
        <v>37</v>
      </c>
      <c r="B16" s="18">
        <v>996</v>
      </c>
      <c r="C16" s="18">
        <v>950</v>
      </c>
      <c r="D16" s="7">
        <f>ROUND((Table4[[#This Row],[Resolved Overall]]/Table4[[#This Row],[Submitted Overall]]*100),0)</f>
        <v>95</v>
      </c>
      <c r="E16" s="35">
        <v>112</v>
      </c>
      <c r="F16" s="18">
        <v>28</v>
      </c>
      <c r="G16" s="18">
        <v>856</v>
      </c>
    </row>
    <row r="17" spans="1:7" x14ac:dyDescent="0.35">
      <c r="A17" s="18" t="s">
        <v>38</v>
      </c>
      <c r="B17" s="18">
        <v>1213</v>
      </c>
      <c r="C17" s="18">
        <v>977</v>
      </c>
      <c r="D17" s="18">
        <f>ROUND((Table4[[#This Row],[Resolved Overall]]/Table4[[#This Row],[Submitted Overall]]*100),0)</f>
        <v>81</v>
      </c>
      <c r="E17" s="35">
        <v>205</v>
      </c>
      <c r="F17" s="19">
        <v>44</v>
      </c>
      <c r="G17" s="19">
        <v>964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7"/>
  <sheetViews>
    <sheetView workbookViewId="0">
      <selection activeCell="A17" sqref="A17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  <row r="15" spans="1:7" x14ac:dyDescent="0.35">
      <c r="A15" s="18" t="s">
        <v>36</v>
      </c>
      <c r="B15" s="18">
        <v>1118</v>
      </c>
      <c r="C15" s="18">
        <v>1114</v>
      </c>
      <c r="D15" s="18">
        <f>ROUND(_xlfn.PERCENTOF(Table5[[#This Row],[Resolved Overall]],Table5[[#This Row],[Submitted Overall]])*100,0)</f>
        <v>100</v>
      </c>
      <c r="E15" s="18">
        <v>105</v>
      </c>
      <c r="F15" s="18">
        <v>51</v>
      </c>
      <c r="G15" s="18">
        <v>962</v>
      </c>
    </row>
    <row r="16" spans="1:7" x14ac:dyDescent="0.35">
      <c r="A16" s="18" t="s">
        <v>37</v>
      </c>
      <c r="B16" s="18">
        <v>671</v>
      </c>
      <c r="C16" s="18">
        <v>704</v>
      </c>
      <c r="D16" s="18">
        <f>ROUND(_xlfn.PERCENTOF(Table5[[#This Row],[Resolved Overall]],Table5[[#This Row],[Submitted Overall]])*100,0)</f>
        <v>105</v>
      </c>
      <c r="E16" s="18">
        <v>76</v>
      </c>
      <c r="F16" s="18">
        <v>25</v>
      </c>
      <c r="G16" s="18">
        <v>570</v>
      </c>
    </row>
    <row r="17" spans="1:7" x14ac:dyDescent="0.35">
      <c r="A17" s="18" t="s">
        <v>38</v>
      </c>
      <c r="B17" s="18">
        <v>698</v>
      </c>
      <c r="C17" s="18">
        <v>681</v>
      </c>
      <c r="D17" s="18">
        <f>ROUND(_xlfn.PERCENTOF(Table5[[#This Row],[Resolved Overall]],Table5[[#This Row],[Submitted Overall]])*100,0)</f>
        <v>98</v>
      </c>
      <c r="E17" s="18">
        <v>86</v>
      </c>
      <c r="F17" s="18">
        <v>54</v>
      </c>
      <c r="G17" s="18">
        <v>558</v>
      </c>
    </row>
  </sheetData>
  <phoneticPr fontId="5" type="noConversion"/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7"/>
  <sheetViews>
    <sheetView topLeftCell="A3" workbookViewId="0">
      <selection activeCell="E11" sqref="E11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ht="15" thickBot="1" x14ac:dyDescent="0.4">
      <c r="A14" s="9" t="s">
        <v>35</v>
      </c>
      <c r="B14" s="10">
        <v>26</v>
      </c>
    </row>
    <row r="15" spans="1:2" ht="15" thickBot="1" x14ac:dyDescent="0.4">
      <c r="A15" s="13" t="s">
        <v>36</v>
      </c>
      <c r="B15" s="14">
        <v>32</v>
      </c>
    </row>
    <row r="16" spans="1:2" ht="15" thickBot="1" x14ac:dyDescent="0.4">
      <c r="A16" s="9" t="s">
        <v>37</v>
      </c>
      <c r="B16" s="10">
        <v>8</v>
      </c>
    </row>
    <row r="17" spans="1:2" x14ac:dyDescent="0.35">
      <c r="A17" s="13" t="s">
        <v>38</v>
      </c>
      <c r="B17" s="14">
        <v>9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7"/>
  <sheetViews>
    <sheetView workbookViewId="0">
      <selection activeCell="I15" sqref="I15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ht="15" thickBot="1" x14ac:dyDescent="0.4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  <row r="15" spans="1:5" ht="15" thickBot="1" x14ac:dyDescent="0.4">
      <c r="A15" s="13" t="s">
        <v>36</v>
      </c>
      <c r="B15" s="16">
        <v>26</v>
      </c>
      <c r="C15" s="16">
        <v>8</v>
      </c>
      <c r="D15" s="16">
        <v>1</v>
      </c>
      <c r="E15" s="14">
        <v>17</v>
      </c>
    </row>
    <row r="16" spans="1:5" ht="15" thickBot="1" x14ac:dyDescent="0.4">
      <c r="A16" s="9" t="s">
        <v>37</v>
      </c>
      <c r="B16" s="8">
        <v>18</v>
      </c>
      <c r="C16" s="8">
        <v>2</v>
      </c>
      <c r="D16" s="8">
        <v>0</v>
      </c>
      <c r="E16" s="10">
        <v>16</v>
      </c>
    </row>
    <row r="17" spans="1:5" x14ac:dyDescent="0.35">
      <c r="A17" s="13" t="s">
        <v>38</v>
      </c>
      <c r="B17" s="16">
        <v>36</v>
      </c>
      <c r="C17" s="16">
        <v>11</v>
      </c>
      <c r="D17" s="16">
        <v>4</v>
      </c>
      <c r="E17" s="14">
        <v>21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7"/>
  <sheetViews>
    <sheetView workbookViewId="0">
      <selection activeCell="G16" sqref="G16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37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37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37">
        <v>0.96</v>
      </c>
    </row>
    <row r="14" spans="1:5" x14ac:dyDescent="0.35">
      <c r="A14" s="1" t="s">
        <v>35</v>
      </c>
      <c r="B14" s="1">
        <v>228</v>
      </c>
      <c r="C14" s="1">
        <v>3</v>
      </c>
      <c r="D14" s="1">
        <v>3</v>
      </c>
      <c r="E14" s="37">
        <v>0.99</v>
      </c>
    </row>
    <row r="15" spans="1:5" x14ac:dyDescent="0.35">
      <c r="A15" s="1" t="s">
        <v>36</v>
      </c>
      <c r="B15" s="1">
        <v>469</v>
      </c>
      <c r="C15" s="1">
        <v>18</v>
      </c>
      <c r="D15" s="1">
        <v>2</v>
      </c>
      <c r="E15" s="37">
        <v>0.94</v>
      </c>
    </row>
    <row r="16" spans="1:5" x14ac:dyDescent="0.35">
      <c r="A16" s="1" t="s">
        <v>37</v>
      </c>
      <c r="B16" s="1">
        <v>355</v>
      </c>
      <c r="C16" s="1">
        <v>8</v>
      </c>
      <c r="D16" s="1">
        <v>8</v>
      </c>
      <c r="E16" s="37">
        <v>0.94</v>
      </c>
    </row>
    <row r="17" spans="1:5" x14ac:dyDescent="0.35">
      <c r="A17" s="34" t="s">
        <v>38</v>
      </c>
      <c r="B17" s="34">
        <v>191</v>
      </c>
      <c r="C17" s="34">
        <v>7</v>
      </c>
      <c r="D17" s="34">
        <v>6</v>
      </c>
      <c r="E17" s="37">
        <v>0.99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7"/>
  <sheetViews>
    <sheetView tabSelected="1" workbookViewId="0">
      <selection activeCell="G13" sqref="G13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4" t="s">
        <v>35</v>
      </c>
      <c r="B14" s="34">
        <v>57</v>
      </c>
    </row>
    <row r="15" spans="1:2" x14ac:dyDescent="0.35">
      <c r="A15" s="34" t="s">
        <v>36</v>
      </c>
      <c r="B15" s="34">
        <v>44</v>
      </c>
    </row>
    <row r="16" spans="1:2" x14ac:dyDescent="0.35">
      <c r="A16" s="34" t="s">
        <v>37</v>
      </c>
      <c r="B16" s="34">
        <v>49</v>
      </c>
    </row>
    <row r="17" spans="1:2" x14ac:dyDescent="0.35">
      <c r="A17" s="34" t="s">
        <v>38</v>
      </c>
      <c r="B17" s="38">
        <v>43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opLeftCell="A10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2026-02-11T07:20:34Z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